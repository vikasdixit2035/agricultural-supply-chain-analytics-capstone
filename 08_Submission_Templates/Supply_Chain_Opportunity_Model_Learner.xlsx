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fbd6e4617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Case" sheetId="1" r:id="R5cb822ab34104699"/>
    <x:sheet xmlns:r="http://schemas.openxmlformats.org/officeDocument/2006/relationships" name="Instructions" sheetId="2" r:id="R24a7d1f572a5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5C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C2B"/>
      </x:patternFill>
    </x:fill>
    <x:fill>
      <x:patternFill patternType="solid">
        <x:fgColor rgb="FFEAF4E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78430abe64ac1" /><Relationship Type="http://schemas.openxmlformats.org/officeDocument/2006/relationships/theme" Target="/xl/theme/theme1.xml" Id="R49eddf75ffcf48e0" /><Relationship Type="http://schemas.openxmlformats.org/officeDocument/2006/relationships/sharedStrings" Target="/xl/sharedStrings.xml" Id="Rdeca5b4053864f80" /><Relationship Type="http://schemas.openxmlformats.org/officeDocument/2006/relationships/worksheet" Target="/xl/worksheets/sheet1.xml" Id="R5cb822ab34104699" /><Relationship Type="http://schemas.openxmlformats.org/officeDocument/2006/relationships/worksheet" Target="/xl/worksheets/sheet2.xml" Id="R24a7d1f572a5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52" hidden="0" customWidth="1"/>
  </x:cols>
  <x:sheetData>
    <x:row r="1">
      <x:c r="A1" s="6" t="str">
        <x:v>Initiative</x:v>
      </x:c>
      <x:c r="B1" s="6" t="str">
        <x:v>Addressable Pool INR</x:v>
      </x:c>
      <x:c r="C1" s="6" t="str">
        <x:v>Low Capture</x:v>
      </x:c>
      <x:c r="D1" s="6" t="str">
        <x:v>Base Capture</x:v>
      </x:c>
      <x:c r="E1" s="6" t="str">
        <x:v>High Capture</x:v>
      </x:c>
      <x:c r="F1" s="6" t="str">
        <x:v>Low Impact INR</x:v>
      </x:c>
      <x:c r="G1" s="6" t="str">
        <x:v>Base Impact INR</x:v>
      </x:c>
      <x:c r="H1" s="6" t="str">
        <x:v>High Impact INR</x:v>
      </x:c>
      <x:c r="I1" s="6" t="str">
        <x:v>Assumption</x:v>
      </x:c>
    </x:row>
    <x:row r="2">
      <x:c r="A2" s="24" t="str">
        <x:v>Cold-chain excursion reduction</x:v>
      </x:c>
      <x:c r="B2" s="25" t="n">
        <x:v>420861619</x:v>
      </x:c>
      <x:c r="C2" s="26"/>
      <x:c r="D2" s="26"/>
      <x:c r="E2" s="26"/>
      <x:c r="F2" s="25" t="n">
        <x:f>B2*C2</x:f>
        <x:v>0</x:v>
      </x:c>
      <x:c r="G2" s="25" t="n">
        <x:f>B2*D2</x:f>
        <x:v>0</x:v>
      </x:c>
      <x:c r="H2" s="25" t="n">
        <x:f>B2*E2</x:f>
        <x:v>0</x:v>
      </x:c>
      <x:c r="I2" s="24" t="str">
        <x:v>Share of cold-product spoilage value avoided</x:v>
      </x:c>
    </x:row>
    <x:row r="3">
      <x:c r="A3" s="24" t="str">
        <x:v>Supplier quality improvement</x:v>
      </x:c>
      <x:c r="B3" s="25" t="n">
        <x:v>3052005728.9700003</x:v>
      </x:c>
      <x:c r="C3" s="26"/>
      <x:c r="D3" s="26"/>
      <x:c r="E3" s="26"/>
      <x:c r="F3" s="25" t="n">
        <x:f>B3*C3</x:f>
        <x:v>0</x:v>
      </x:c>
      <x:c r="G3" s="25" t="n">
        <x:f>B3*D3</x:f>
        <x:v>0</x:v>
      </x:c>
      <x:c r="H3" s="25" t="n">
        <x:f>B3*E3</x:f>
        <x:v>0</x:v>
      </x:c>
      <x:c r="I3" s="24" t="str">
        <x:v>Share of quality rejection value avoided</x:v>
      </x:c>
    </x:row>
    <x:row r="4">
      <x:c r="A4" s="24" t="str">
        <x:v>Fill-rate recovery</x:v>
      </x:c>
      <x:c r="B4" s="25" t="n">
        <x:v>440767205.88464427</x:v>
      </x:c>
      <x:c r="C4" s="26"/>
      <x:c r="D4" s="26"/>
      <x:c r="E4" s="26"/>
      <x:c r="F4" s="25" t="n">
        <x:f>B4*C4</x:f>
        <x:v>0</x:v>
      </x:c>
      <x:c r="G4" s="25" t="n">
        <x:f>B4*D4</x:f>
        <x:v>0</x:v>
      </x:c>
      <x:c r="H4" s="25" t="n">
        <x:f>B4*E4</x:f>
        <x:v>0</x:v>
      </x:c>
      <x:c r="I4" s="24" t="str">
        <x:v>Share of service-gap revenue recovered</x:v>
      </x:c>
    </x:row>
    <x:row r="5">
      <x:c r="A5" s="24" t="str">
        <x:v>Inventory expiry reduction</x:v>
      </x:c>
      <x:c r="B5" s="25" t="n">
        <x:v>578764139</x:v>
      </x:c>
      <x:c r="C5" s="26"/>
      <x:c r="D5" s="26"/>
      <x:c r="E5" s="26"/>
      <x:c r="F5" s="25" t="n">
        <x:f>B5*C5</x:f>
        <x:v>0</x:v>
      </x:c>
      <x:c r="G5" s="25" t="n">
        <x:f>B5*D5</x:f>
        <x:v>0</x:v>
      </x:c>
      <x:c r="H5" s="25" t="n">
        <x:f>B5*E5</x:f>
        <x:v>0</x:v>
      </x:c>
      <x:c r="I5" s="24" t="str">
        <x:v>Share of spoilage / expiry value avoided</x:v>
      </x:c>
    </x:row>
    <x:row r="6">
      <x:c r="A6" s="24"/>
      <x:c r="B6" s="24"/>
      <x:c r="C6" s="24"/>
      <x:c r="D6" s="24"/>
      <x:c r="E6" s="24"/>
      <x:c r="F6" s="25"/>
      <x:c r="G6" s="25"/>
      <x:c r="H6" s="25"/>
      <x:c r="I6" s="24"/>
    </x:row>
    <x:row r="7">
      <x:c r="A7" s="14" t="str">
        <x:v>TOTAL</x:v>
      </x:c>
      <x:c r="B7" s="14" t="str"/>
      <x:c r="C7" s="14" t="str"/>
      <x:c r="D7" s="14" t="str"/>
      <x:c r="E7" s="14" t="str"/>
      <x:c r="F7" s="22" t="n">
        <x:f>SUM(F2:F5)</x:f>
        <x:v>0</x:v>
      </x:c>
      <x:c r="G7" s="22" t="n">
        <x:f>SUM(G2:G5)</x:f>
        <x:v>0</x:v>
      </x:c>
      <x:c r="H7" s="22" t="n">
        <x:f>SUM(H2:H5)</x:f>
        <x:v>0</x:v>
      </x:c>
      <x:c r="I7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6" t="str">
        <x:v>Concept</x:v>
      </x:c>
      <x:c r="B1" s="6" t="str">
        <x:v>Guidance</x:v>
      </x:c>
    </x:row>
    <x:row r="2">
      <x:c r="A2" s="24" t="str">
        <x:v>Addressable Pool</x:v>
      </x:c>
      <x:c r="B2" s="24" t="str">
        <x:v>Maximum economic value exposed to the issue; it is not a forecast.</x:v>
      </x:c>
    </x:row>
    <x:row r="3">
      <x:c r="A3" s="24" t="str">
        <x:v>Capture Rate</x:v>
      </x:c>
      <x:c r="B3" s="24" t="str">
        <x:v>Realistic proportion of the pool that the initiative could deliver.</x:v>
      </x:c>
    </x:row>
    <x:row r="4">
      <x:c r="A4" s="24" t="str">
        <x:v>Low / Base / High</x:v>
      </x:c>
      <x:c r="B4" s="24" t="str">
        <x:v>Use explicit assumptions to communicate uncertainty.</x:v>
      </x:c>
    </x:row>
    <x:row r="5">
      <x:c r="A5" s="24" t="str">
        <x:v>Cold Chain</x:v>
      </x:c>
      <x:c r="B5" s="24" t="str">
        <x:v>Estimate avoided spoilage from better reefer discipline / route control.</x:v>
      </x:c>
    </x:row>
    <x:row r="6">
      <x:c r="A6" s="24" t="str">
        <x:v>Supplier Quality</x:v>
      </x:c>
      <x:c r="B6" s="24" t="str">
        <x:v>Estimate value of rejected harvest that could be prevented.</x:v>
      </x:c>
    </x:row>
    <x:row r="7">
      <x:c r="A7" s="24" t="str">
        <x:v>Fill Rate</x:v>
      </x:c>
      <x:c r="B7" s="24" t="str">
        <x:v>Estimate revenue recovered from reducing unfilled demand.</x:v>
      </x:c>
    </x:row>
    <x:row r="8">
      <x:c r="A8" s="24" t="str">
        <x:v>Inventory Expiry</x:v>
      </x:c>
      <x:c r="B8" s="24" t="str">
        <x:v>Estimate avoidable expiry/spoilage through FEFO and planning.</x:v>
      </x:c>
    </x:row>
  </x:sheetData>
  <x:pageMargins left="0.7" right="0.7" top="0.75" bottom="0.75" header="0.3" footer="0.3"/>
</x:worksheet>
</file>